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wri\Desktop\"/>
    </mc:Choice>
  </mc:AlternateContent>
  <xr:revisionPtr revIDLastSave="0" documentId="8_{9F4CCEE7-A2D3-4294-B5EF-FE3849F1317C}" xr6:coauthVersionLast="47" xr6:coauthVersionMax="47" xr10:uidLastSave="{00000000-0000-0000-0000-000000000000}"/>
  <bookViews>
    <workbookView xWindow="-120" yWindow="-120" windowWidth="20730" windowHeight="11040" xr2:uid="{A1485CCE-FA8F-48BA-87A9-145085D720B0}"/>
  </bookViews>
  <sheets>
    <sheet name="clv_forecast_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F3" i="1"/>
  <c r="G3" i="1" s="1"/>
  <c r="I3" i="1" s="1"/>
  <c r="F2" i="1"/>
  <c r="G2" i="1" s="1"/>
  <c r="I2" i="1" s="1"/>
  <c r="I5" i="1"/>
  <c r="H3" i="1"/>
  <c r="H4" i="1"/>
  <c r="H5" i="1"/>
  <c r="G4" i="1"/>
  <c r="I4" i="1" s="1"/>
  <c r="G5" i="1"/>
  <c r="H2" i="1"/>
  <c r="I6" i="1" l="1"/>
</calcChain>
</file>

<file path=xl/sharedStrings.xml><?xml version="1.0" encoding="utf-8"?>
<sst xmlns="http://schemas.openxmlformats.org/spreadsheetml/2006/main" count="20" uniqueCount="18">
  <si>
    <t>clv_segment</t>
  </si>
  <si>
    <t>total_customers</t>
  </si>
  <si>
    <t>churned_customers</t>
  </si>
  <si>
    <t>total_clv_value</t>
  </si>
  <si>
    <t>Platinum</t>
  </si>
  <si>
    <t>1760</t>
  </si>
  <si>
    <t>Gold</t>
  </si>
  <si>
    <t>1761</t>
  </si>
  <si>
    <t>Silver</t>
  </si>
  <si>
    <t>Bronze</t>
  </si>
  <si>
    <t>churn_reduction_pct</t>
  </si>
  <si>
    <t>retained_customers</t>
  </si>
  <si>
    <t>avg_clv_per_customer</t>
  </si>
  <si>
    <t>incremental_clv_saved</t>
  </si>
  <si>
    <t>TOTAL</t>
  </si>
  <si>
    <t>Scenario_churn_reduction</t>
  </si>
  <si>
    <t>churn_rate_pct(%)</t>
  </si>
  <si>
    <t>Total Incremental CLV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</si>
</sst>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9" fontId="0" fillId="0" borderId="0" xfId="2" applyFont="1"/>
    <xf numFmtId="164" fontId="0" fillId="0" borderId="0" xfId="0" applyNumberFormat="1"/>
    <xf numFmtId="9" fontId="0" fillId="0" borderId="0" xfId="0" applyNumberFormat="1"/>
    <xf numFmtId="2" fontId="0" fillId="0" borderId="0" xfId="1" applyNumberFormat="1" applyFont="1"/>
    <xf numFmtId="164" fontId="16" fillId="0" borderId="0" xfId="0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DF69-6312-4A5A-931E-65F37D84A283}">
  <dimension ref="A1:K7"/>
  <sheetViews>
    <sheetView tabSelected="1" zoomScale="82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21" customWidth="1"/>
    <col min="2" max="2" width="20.85546875" customWidth="1"/>
    <col min="3" max="3" width="19" customWidth="1"/>
    <col min="4" max="4" width="17.28515625" style="4" customWidth="1"/>
    <col min="5" max="5" width="18.28515625" style="2" customWidth="1"/>
    <col min="6" max="6" width="20.7109375" style="2" customWidth="1"/>
    <col min="7" max="7" width="18.28515625" style="2" customWidth="1"/>
    <col min="8" max="8" width="21.42578125" style="2" customWidth="1"/>
    <col min="9" max="9" width="22" style="2" customWidth="1"/>
    <col min="10" max="10" width="15.140625" customWidth="1"/>
    <col min="11" max="11" width="25.140625" customWidth="1"/>
  </cols>
  <sheetData>
    <row r="1" spans="1:11" x14ac:dyDescent="0.25">
      <c r="A1" t="s">
        <v>0</v>
      </c>
      <c r="B1" t="s">
        <v>1</v>
      </c>
      <c r="C1" t="s">
        <v>2</v>
      </c>
      <c r="D1" s="4" t="s">
        <v>16</v>
      </c>
      <c r="E1" s="2" t="s">
        <v>3</v>
      </c>
      <c r="F1" s="2" t="s">
        <v>10</v>
      </c>
      <c r="G1" s="2" t="s">
        <v>11</v>
      </c>
      <c r="H1" s="2" t="s">
        <v>12</v>
      </c>
      <c r="I1" s="2" t="s">
        <v>13</v>
      </c>
    </row>
    <row r="2" spans="1:11" x14ac:dyDescent="0.25">
      <c r="A2" t="s">
        <v>4</v>
      </c>
      <c r="B2" t="s">
        <v>5</v>
      </c>
      <c r="C2">
        <v>255</v>
      </c>
      <c r="D2" s="4">
        <v>14.49</v>
      </c>
      <c r="E2" s="2">
        <v>10057102.35</v>
      </c>
      <c r="F2" s="1">
        <f>$K$3</f>
        <v>0.15</v>
      </c>
      <c r="G2">
        <f>C2*F2</f>
        <v>38.25</v>
      </c>
      <c r="H2" s="2">
        <f>E2/B2</f>
        <v>5714.2626988636357</v>
      </c>
      <c r="I2" s="2">
        <f>G2*H2</f>
        <v>218570.54823153408</v>
      </c>
      <c r="K2" t="s">
        <v>15</v>
      </c>
    </row>
    <row r="3" spans="1:11" x14ac:dyDescent="0.25">
      <c r="A3" t="s">
        <v>6</v>
      </c>
      <c r="B3" t="s">
        <v>7</v>
      </c>
      <c r="C3">
        <v>406</v>
      </c>
      <c r="D3" s="4">
        <v>23.06</v>
      </c>
      <c r="E3" s="2">
        <v>4218832.45</v>
      </c>
      <c r="F3" s="1">
        <f>$K$3</f>
        <v>0.15</v>
      </c>
      <c r="G3">
        <f>C3*F3</f>
        <v>60.9</v>
      </c>
      <c r="H3" s="2">
        <f t="shared" ref="H3:H5" si="0">E3/B3</f>
        <v>2395.7026973310622</v>
      </c>
      <c r="I3" s="2">
        <f t="shared" ref="I3:I5" si="1">G3*H3</f>
        <v>145898.29426746169</v>
      </c>
      <c r="K3">
        <v>0.15</v>
      </c>
    </row>
    <row r="4" spans="1:11" x14ac:dyDescent="0.25">
      <c r="A4" t="s">
        <v>8</v>
      </c>
      <c r="B4" t="s">
        <v>7</v>
      </c>
      <c r="C4">
        <v>451</v>
      </c>
      <c r="D4" s="4">
        <v>25.61</v>
      </c>
      <c r="E4" s="2">
        <v>1513279.95</v>
      </c>
      <c r="F4" s="3">
        <v>0</v>
      </c>
      <c r="G4">
        <f>C4*F4</f>
        <v>0</v>
      </c>
      <c r="H4" s="2">
        <f t="shared" si="0"/>
        <v>859.3298977853492</v>
      </c>
      <c r="I4" s="2">
        <f t="shared" si="1"/>
        <v>0</v>
      </c>
    </row>
    <row r="5" spans="1:11" x14ac:dyDescent="0.25">
      <c r="A5" t="s">
        <v>9</v>
      </c>
      <c r="B5" t="s">
        <v>7</v>
      </c>
      <c r="C5">
        <v>757</v>
      </c>
      <c r="D5" s="4">
        <v>42.99</v>
      </c>
      <c r="E5" s="2">
        <v>265876.7</v>
      </c>
      <c r="F5" s="1">
        <v>0</v>
      </c>
      <c r="G5">
        <f>C5*F5</f>
        <v>0</v>
      </c>
      <c r="H5" s="2">
        <f t="shared" si="0"/>
        <v>150.98052243043725</v>
      </c>
      <c r="I5" s="2">
        <f t="shared" si="1"/>
        <v>0</v>
      </c>
    </row>
    <row r="6" spans="1:11" x14ac:dyDescent="0.25">
      <c r="A6" t="s">
        <v>14</v>
      </c>
      <c r="I6" s="2">
        <f>SUM(I2:I5)</f>
        <v>364468.84249899577</v>
      </c>
    </row>
    <row r="7" spans="1:11" x14ac:dyDescent="0.25">
      <c r="A7" t="s">
        <v>17</v>
      </c>
      <c r="I7" s="5">
        <f>I6</f>
        <v>364468.84249899577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clv_forecast_model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Gowri</dc:creator>
  <cp:lastModifiedBy>Gowri Krishna</cp:lastModifiedBy>
  <dcterms:created xsi:type="dcterms:W3CDTF">2026-01-28T11:31:03Z</dcterms:created>
  <dcterms:modified xsi:type="dcterms:W3CDTF">2026-01-28T13:33:29Z</dcterms:modified>
</cp:coreProperties>
</file>